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mman Zarqa\Amman Zarqa New Dataset\2.water availability\"/>
    </mc:Choice>
  </mc:AlternateContent>
  <xr:revisionPtr revIDLastSave="0" documentId="13_ncr:9_{A95159E5-9831-44A4-846E-589D66CF7EAE}" xr6:coauthVersionLast="47" xr6:coauthVersionMax="47" xr10:uidLastSave="{00000000-0000-0000-0000-000000000000}"/>
  <bookViews>
    <workbookView xWindow="-120" yWindow="-120" windowWidth="29040" windowHeight="15720" xr2:uid="{D8A8C6B6-F6C6-4D59-8AA8-D0E013E6AA39}"/>
  </bookViews>
  <sheets>
    <sheet name="yearly_water_balance_MB_2016_20" sheetId="1" r:id="rId1"/>
  </sheets>
  <calcPr calcId="0"/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2" i="1"/>
  <c r="T3" i="1"/>
  <c r="T4" i="1"/>
  <c r="T5" i="1"/>
  <c r="T6" i="1"/>
  <c r="T7" i="1"/>
  <c r="T2" i="1"/>
</calcChain>
</file>

<file path=xl/sharedStrings.xml><?xml version="1.0" encoding="utf-8"?>
<sst xmlns="http://schemas.openxmlformats.org/spreadsheetml/2006/main" count="21" uniqueCount="21">
  <si>
    <t>yr_csv</t>
  </si>
  <si>
    <t>P</t>
  </si>
  <si>
    <t>ds</t>
  </si>
  <si>
    <t>q_gross_inflow</t>
  </si>
  <si>
    <t>q_inflow</t>
  </si>
  <si>
    <t>net_inflow</t>
  </si>
  <si>
    <t>landscape_et</t>
  </si>
  <si>
    <t>land_et.t</t>
  </si>
  <si>
    <t>et_incremental</t>
  </si>
  <si>
    <t>outflow</t>
  </si>
  <si>
    <t>exploitable_water</t>
  </si>
  <si>
    <t>available_water</t>
  </si>
  <si>
    <t>non_utilizable</t>
  </si>
  <si>
    <t>reserved_flow</t>
  </si>
  <si>
    <t>Utilized_flow</t>
  </si>
  <si>
    <t>Utilizable_outflow</t>
  </si>
  <si>
    <t>non_rec_flow</t>
  </si>
  <si>
    <t>consumed_water</t>
  </si>
  <si>
    <t>depleted_water</t>
  </si>
  <si>
    <t>Water Availability for further use (BMC)</t>
  </si>
  <si>
    <t>Basin Closure 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</si>
</sst>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16" fillId="33" borderId="0" xfId="0" applyNumberFormat="1" applyFont="1" applyFill="1"/>
    <xf numFmtId="2" fontId="16" fillId="33" borderId="10" xfId="0" applyNumberFormat="1" applyFon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995EE-BF8B-448A-BB02-863FCB0BD9E4}">
  <dimension ref="A1:U7"/>
  <sheetViews>
    <sheetView tabSelected="1" topLeftCell="E1" workbookViewId="0">
      <selection activeCell="T23" sqref="T23"/>
    </sheetView>
  </sheetViews>
  <sheetFormatPr defaultRowHeight="15" x14ac:dyDescent="0.25"/>
  <cols>
    <col min="14" max="14" width="19.140625" customWidth="1"/>
    <col min="15" max="15" width="27.5703125" customWidth="1"/>
    <col min="16" max="16" width="30" customWidth="1"/>
    <col min="20" max="20" width="34.85546875" customWidth="1"/>
    <col min="21" max="21" width="36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20</v>
      </c>
      <c r="U1" s="1" t="s">
        <v>19</v>
      </c>
    </row>
    <row r="2" spans="1:21" x14ac:dyDescent="0.25">
      <c r="A2">
        <v>2016</v>
      </c>
      <c r="B2">
        <v>1169.0141510000001</v>
      </c>
      <c r="C2">
        <v>-36.225267670000001</v>
      </c>
      <c r="D2">
        <v>1208.1808779999999</v>
      </c>
      <c r="E2">
        <v>39.166726500000003</v>
      </c>
      <c r="F2">
        <v>1171.95561</v>
      </c>
      <c r="G2">
        <v>872.50353250000001</v>
      </c>
      <c r="H2">
        <v>760.26847120000002</v>
      </c>
      <c r="I2">
        <v>329.80619669999999</v>
      </c>
      <c r="J2">
        <v>81.880942059999995</v>
      </c>
      <c r="K2">
        <v>299.45207740000001</v>
      </c>
      <c r="L2">
        <v>299.45207740000001</v>
      </c>
      <c r="M2">
        <v>0</v>
      </c>
      <c r="N2">
        <v>0</v>
      </c>
      <c r="O2">
        <v>262.39504449999998</v>
      </c>
      <c r="P2">
        <v>37.057032820000003</v>
      </c>
      <c r="Q2">
        <v>44.823909239999999</v>
      </c>
      <c r="R2">
        <v>1134.8985769999999</v>
      </c>
      <c r="S2">
        <v>1090.074668</v>
      </c>
      <c r="T2" s="3">
        <f>(N2+O2)*100/K2</f>
        <v>87.625053991360275</v>
      </c>
      <c r="U2">
        <f>P2</f>
        <v>37.057032820000003</v>
      </c>
    </row>
    <row r="3" spans="1:21" x14ac:dyDescent="0.25">
      <c r="A3">
        <v>2017</v>
      </c>
      <c r="B3">
        <v>1264.414505</v>
      </c>
      <c r="C3">
        <v>-107.3940515</v>
      </c>
      <c r="D3">
        <v>1300.4807060000001</v>
      </c>
      <c r="E3">
        <v>36.066201560000003</v>
      </c>
      <c r="F3">
        <v>1193.0866550000001</v>
      </c>
      <c r="G3">
        <v>890.70003870000005</v>
      </c>
      <c r="H3">
        <v>776.18957039999998</v>
      </c>
      <c r="I3">
        <v>335.72640790000003</v>
      </c>
      <c r="J3">
        <v>81.170676599999993</v>
      </c>
      <c r="K3">
        <v>302.38661619999999</v>
      </c>
      <c r="L3">
        <v>302.38661619999999</v>
      </c>
      <c r="M3">
        <v>0</v>
      </c>
      <c r="N3">
        <v>0</v>
      </c>
      <c r="O3">
        <v>265.49963680000002</v>
      </c>
      <c r="P3">
        <v>36.88697939</v>
      </c>
      <c r="Q3">
        <v>44.283697199999999</v>
      </c>
      <c r="R3">
        <v>1156.199676</v>
      </c>
      <c r="S3">
        <v>1111.915978</v>
      </c>
      <c r="T3" s="3">
        <f t="shared" ref="T3:T7" si="0">(N3+O3)*100/K3</f>
        <v>87.801384907987213</v>
      </c>
      <c r="U3">
        <f t="shared" ref="U3:U7" si="1">P3</f>
        <v>36.88697939</v>
      </c>
    </row>
    <row r="4" spans="1:21" x14ac:dyDescent="0.25">
      <c r="A4">
        <v>2018</v>
      </c>
      <c r="B4">
        <v>1539.223696</v>
      </c>
      <c r="C4">
        <v>-236.39198139999999</v>
      </c>
      <c r="D4">
        <v>1572.7221030000001</v>
      </c>
      <c r="E4">
        <v>33.49840708</v>
      </c>
      <c r="F4">
        <v>1336.3301220000001</v>
      </c>
      <c r="G4">
        <v>1009.404015</v>
      </c>
      <c r="H4">
        <v>880.95160229999999</v>
      </c>
      <c r="I4">
        <v>364.3693212</v>
      </c>
      <c r="J4">
        <v>91.009198339999998</v>
      </c>
      <c r="K4">
        <v>326.9261065</v>
      </c>
      <c r="L4">
        <v>326.9261065</v>
      </c>
      <c r="M4">
        <v>0</v>
      </c>
      <c r="N4">
        <v>0</v>
      </c>
      <c r="O4">
        <v>288.09758909999999</v>
      </c>
      <c r="P4">
        <v>38.828517419999997</v>
      </c>
      <c r="Q4">
        <v>52.18068092</v>
      </c>
      <c r="R4">
        <v>1297.501604</v>
      </c>
      <c r="S4">
        <v>1245.320923</v>
      </c>
      <c r="T4" s="3">
        <f t="shared" si="0"/>
        <v>88.123151798524233</v>
      </c>
      <c r="U4">
        <f t="shared" si="1"/>
        <v>38.828517419999997</v>
      </c>
    </row>
    <row r="5" spans="1:21" x14ac:dyDescent="0.25">
      <c r="A5">
        <v>2019</v>
      </c>
      <c r="B5">
        <v>1563.1616799999999</v>
      </c>
      <c r="C5">
        <v>-152.89330129999999</v>
      </c>
      <c r="D5">
        <v>1598.026953</v>
      </c>
      <c r="E5">
        <v>34.865273340000002</v>
      </c>
      <c r="F5">
        <v>1445.133652</v>
      </c>
      <c r="G5">
        <v>1101.2831900000001</v>
      </c>
      <c r="H5">
        <v>934.99349099999995</v>
      </c>
      <c r="I5">
        <v>427.35354539999997</v>
      </c>
      <c r="J5">
        <v>82.786615620000006</v>
      </c>
      <c r="K5">
        <v>343.85046180000001</v>
      </c>
      <c r="L5">
        <v>343.85046180000001</v>
      </c>
      <c r="M5">
        <v>0</v>
      </c>
      <c r="N5">
        <v>0</v>
      </c>
      <c r="O5">
        <v>302.69162749999998</v>
      </c>
      <c r="P5">
        <v>41.158834310000003</v>
      </c>
      <c r="Q5">
        <v>41.627781300000002</v>
      </c>
      <c r="R5">
        <v>1403.9748179999999</v>
      </c>
      <c r="S5">
        <v>1362.3470359999999</v>
      </c>
      <c r="T5" s="3">
        <f t="shared" si="0"/>
        <v>88.030019187835208</v>
      </c>
      <c r="U5">
        <f t="shared" si="1"/>
        <v>41.158834310000003</v>
      </c>
    </row>
    <row r="6" spans="1:21" x14ac:dyDescent="0.25">
      <c r="A6">
        <v>2020</v>
      </c>
      <c r="B6">
        <v>1106.651421</v>
      </c>
      <c r="C6">
        <v>-52.041346070000003</v>
      </c>
      <c r="D6">
        <v>1142.2287550000001</v>
      </c>
      <c r="E6">
        <v>35.577333619999997</v>
      </c>
      <c r="F6">
        <v>1090.187408</v>
      </c>
      <c r="G6">
        <v>790.65464959999997</v>
      </c>
      <c r="H6">
        <v>685.77381230000003</v>
      </c>
      <c r="I6">
        <v>314.27956030000001</v>
      </c>
      <c r="J6">
        <v>90.134035870000005</v>
      </c>
      <c r="K6">
        <v>299.53275889999998</v>
      </c>
      <c r="L6">
        <v>299.53275889999998</v>
      </c>
      <c r="M6">
        <v>0</v>
      </c>
      <c r="N6">
        <v>0</v>
      </c>
      <c r="O6">
        <v>259.83714190000001</v>
      </c>
      <c r="P6">
        <v>39.695616950000002</v>
      </c>
      <c r="Q6">
        <v>50.438418910000003</v>
      </c>
      <c r="R6">
        <v>1050.491792</v>
      </c>
      <c r="S6">
        <v>1000.053373</v>
      </c>
      <c r="T6" s="3">
        <f t="shared" si="0"/>
        <v>86.747487271249511</v>
      </c>
      <c r="U6">
        <f t="shared" si="1"/>
        <v>39.695616950000002</v>
      </c>
    </row>
    <row r="7" spans="1:21" x14ac:dyDescent="0.25">
      <c r="A7">
        <v>2021</v>
      </c>
      <c r="B7">
        <v>1283.445665</v>
      </c>
      <c r="C7">
        <v>-164.1700749</v>
      </c>
      <c r="D7">
        <v>1319.7832759999999</v>
      </c>
      <c r="E7">
        <v>36.337610920000003</v>
      </c>
      <c r="F7">
        <v>1155.6132009999999</v>
      </c>
      <c r="G7">
        <v>858.01558690000002</v>
      </c>
      <c r="H7">
        <v>754.21456790000002</v>
      </c>
      <c r="I7">
        <v>317.43543570000003</v>
      </c>
      <c r="J7">
        <v>83.963197149999999</v>
      </c>
      <c r="K7">
        <v>297.59761379999998</v>
      </c>
      <c r="L7">
        <v>297.59761379999998</v>
      </c>
      <c r="M7">
        <v>0</v>
      </c>
      <c r="N7">
        <v>0</v>
      </c>
      <c r="O7">
        <v>259.2466106</v>
      </c>
      <c r="P7">
        <v>38.351003200000001</v>
      </c>
      <c r="Q7">
        <v>45.612193939999997</v>
      </c>
      <c r="R7">
        <v>1117.2621979999999</v>
      </c>
      <c r="S7">
        <v>1071.6500040000001</v>
      </c>
      <c r="T7" s="3">
        <f t="shared" si="0"/>
        <v>87.113134843287511</v>
      </c>
      <c r="U7">
        <f t="shared" si="1"/>
        <v>38.351003200000001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yearly_water_balance_MB_2016_20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Madurasinghe, Naduni (IWMI-Consultant)</dc:creator>
  <cp:lastModifiedBy>Madurasinghe, Naduni (IWMI-Consultant)</cp:lastModifiedBy>
  <dcterms:created xsi:type="dcterms:W3CDTF">2025-09-26T10:17:44Z</dcterms:created>
  <dcterms:modified xsi:type="dcterms:W3CDTF">2025-09-26T10:23:23Z</dcterms:modified>
</cp:coreProperties>
</file>